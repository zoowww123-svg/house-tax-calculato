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1" windowHeight="10067"/>
  </bookViews>
  <sheets>
    <sheet name="房地合一稅試算機" sheetId="1" r:id="rId1"/>
  </sheets>
  <calcPr calcId="144525"/>
</workbook>
</file>

<file path=xl/sharedStrings.xml><?xml version="1.0" encoding="utf-8"?>
<sst xmlns="http://schemas.openxmlformats.org/spreadsheetml/2006/main" count="44">
  <si>
    <t>永義房屋｜房地合一稅 2.0 專業試算機</t>
  </si>
  <si>
    <t>買賣房屋稅務試算  •  專業服務  •  誠信代書不動產顧問</t>
  </si>
  <si>
    <t>【 第一步：請輸入成交與成本資料 】</t>
  </si>
  <si>
    <t>【 您的專屬不動產顧問 】</t>
  </si>
  <si>
    <t>成交總價（賣出價格）</t>
  </si>
  <si>
    <t>萬元</t>
  </si>
  <si>
    <t>請輸入賣出房屋之總價</t>
  </si>
  <si>
    <t>取得成本（買入價格）</t>
  </si>
  <si>
    <t>請輸入當初買入之總價</t>
  </si>
  <si>
    <t>移轉費用選擇</t>
  </si>
  <si>
    <t>自行列舉費用</t>
  </si>
  <si>
    <t>可選擇自行輸入或系統自動按3%上限30萬計算</t>
  </si>
  <si>
    <t>實際列舉費用（若有）</t>
  </si>
  <si>
    <t>如仲介費、契稅、印花稅、代書費、裝潢修繕費等</t>
  </si>
  <si>
    <t>土地漲價總數額</t>
  </si>
  <si>
    <t>請參閱土地增值稅繳稅通知書或稅單內容</t>
  </si>
  <si>
    <t>【 第二步：選擇持有期間與適用稅率條件 】</t>
  </si>
  <si>
    <t>持有時間 / 適用條件</t>
  </si>
  <si>
    <t>自住房地（滿 6 年，獲利400萬免稅，超額10%）</t>
  </si>
  <si>
    <t>適用稅率</t>
  </si>
  <si>
    <t>【 第三步：稅務試算分析明細 】</t>
  </si>
  <si>
    <t>可扣除移轉費用</t>
  </si>
  <si>
    <t>專案主任</t>
  </si>
  <si>
    <t>葉仰凡</t>
  </si>
  <si>
    <t>房地總毛利（未扣費用）</t>
  </si>
  <si>
    <t>服務專線</t>
  </si>
  <si>
    <t>0986-525-137</t>
  </si>
  <si>
    <t>房地淨獲利（課稅所得額）</t>
  </si>
  <si>
    <t>LINE ID</t>
  </si>
  <si>
    <t>zoowww999</t>
  </si>
  <si>
    <t>自住房地免稅扣除額</t>
  </si>
  <si>
    <t>電子信箱</t>
  </si>
  <si>
    <t>zoowww_123@yahoo.com.tw</t>
  </si>
  <si>
    <t>應課稅淨額</t>
  </si>
  <si>
    <t>服務品牌</t>
  </si>
  <si>
    <t>永義房屋 台中大墩向上加盟店</t>
  </si>
  <si>
    <t>公司名稱</t>
  </si>
  <si>
    <t>愛心不動產經紀有限公司</t>
  </si>
  <si>
    <t>預估應繳房地合一稅金額</t>
  </si>
  <si>
    <t>預估淨獲利（扣稅後）</t>
  </si>
  <si>
    <t>門市地址</t>
  </si>
  <si>
    <t>台中市南屯區大墩路273號</t>
  </si>
  <si>
    <t>門市電話</t>
  </si>
  <si>
    <t>(04)2471-6699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</si>
</sst>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&quot;$&quot;#,##0.00;\(&quot;$&quot;#,##0.00\);&quot;-&quot;"/>
    <numFmt numFmtId="177" formatCode="&quot;新台幣 &quot;\ &quot;$&quot;#,##0.00&quot; 萬元&quot;"/>
  </numFmts>
  <fonts count="31">
    <font>
      <sz val="11"/>
      <color theme="1"/>
      <name val="新細明體"/>
      <charset val="134"/>
      <scheme val="minor"/>
    </font>
    <font>
      <b/>
      <sz val="18"/>
      <color rgb="FFFFFFFF"/>
      <name val="微軟正黑體"/>
      <charset val="134"/>
    </font>
    <font>
      <i/>
      <sz val="11"/>
      <color rgb="FFFFFFFF"/>
      <name val="微軟正黑體"/>
      <charset val="134"/>
    </font>
    <font>
      <b/>
      <sz val="13"/>
      <color rgb="FFFFFFFF"/>
      <name val="微軟正黑體"/>
      <charset val="134"/>
    </font>
    <font>
      <b/>
      <sz val="11"/>
      <color rgb="FF2C3E50"/>
      <name val="微軟正黑體"/>
      <charset val="134"/>
    </font>
    <font>
      <b/>
      <sz val="11"/>
      <color rgb="FF1E293B"/>
      <name val="微軟正黑體"/>
      <charset val="134"/>
    </font>
    <font>
      <sz val="11"/>
      <color rgb="FF333333"/>
      <name val="微軟正黑體"/>
      <charset val="134"/>
    </font>
    <font>
      <sz val="10"/>
      <color rgb="FF475569"/>
      <name val="微軟正黑體"/>
      <charset val="134"/>
    </font>
    <font>
      <b/>
      <sz val="16"/>
      <color rgb="FF1E293B"/>
      <name val="微軟正黑體"/>
      <charset val="134"/>
    </font>
    <font>
      <b/>
      <sz val="16"/>
      <color rgb="FFDC2626"/>
      <name val="微軟正黑體"/>
      <charset val="134"/>
    </font>
    <font>
      <b/>
      <sz val="14"/>
      <color rgb="FFD97706"/>
      <name val="微軟正黑體"/>
      <charset val="134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006100"/>
      <name val="新細明體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D97706"/>
        <bgColor rgb="FFD97706"/>
      </patternFill>
    </fill>
    <fill>
      <patternFill patternType="solid">
        <fgColor rgb="FFF8FAFC"/>
        <bgColor rgb="FFF8FAFC"/>
      </patternFill>
    </fill>
    <fill>
      <patternFill patternType="solid">
        <fgColor rgb="FFFFF9E6"/>
        <bgColor rgb="FFFFF9E6"/>
      </patternFill>
    </fill>
    <fill>
      <patternFill patternType="solid">
        <fgColor rgb="FFDC2626"/>
        <bgColor rgb="FFDC2626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DC262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9770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6" fillId="17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2" fillId="24" borderId="4" applyNumberFormat="0" applyAlignment="0" applyProtection="0">
      <alignment vertical="center"/>
    </xf>
    <xf numFmtId="0" fontId="28" fillId="14" borderId="11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6" fillId="28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176" fontId="5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9" fillId="9" borderId="2" xfId="0" applyNumberFormat="1" applyFont="1" applyFill="1" applyBorder="1" applyAlignment="1">
      <alignment horizontal="center" vertical="center"/>
    </xf>
    <xf numFmtId="177" fontId="10" fillId="10" borderId="3" xfId="0" applyNumberFormat="1" applyFont="1" applyFill="1" applyBorder="1" applyAlignment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5715</xdr:colOff>
      <xdr:row>4</xdr:row>
      <xdr:rowOff>40640</xdr:rowOff>
    </xdr:from>
    <xdr:to>
      <xdr:col>7</xdr:col>
      <xdr:colOff>3175</xdr:colOff>
      <xdr:row>13</xdr:row>
      <xdr:rowOff>245745</xdr:rowOff>
    </xdr:to>
    <xdr:pic>
      <xdr:nvPicPr>
        <xdr:cNvPr id="3" name="圖片 2" descr="永義名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3825" y="1225550"/>
          <a:ext cx="2799715" cy="274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3"/>
  <sheetViews>
    <sheetView tabSelected="1" zoomScale="55" zoomScaleNormal="55" topLeftCell="A999" workbookViewId="0">
      <selection activeCell="A23" sqref="$A23:$XFD23"/>
    </sheetView>
  </sheetViews>
  <sheetFormatPr defaultColWidth="9" defaultRowHeight="15" outlineLevelCol="6"/>
  <cols>
    <col min="1" max="1" width="25.96875" customWidth="1"/>
    <col min="2" max="2" width="41.9479166666667" customWidth="1"/>
    <col min="3" max="3" width="10" customWidth="1"/>
    <col min="4" max="4" width="45" customWidth="1"/>
    <col min="5" max="5" width="4.02083333333333" customWidth="1"/>
    <col min="6" max="6" width="14.0208333333333" customWidth="1"/>
    <col min="7" max="7" width="31.9479166666667" customWidth="1"/>
  </cols>
  <sheetData>
    <row r="1" ht="32.1" customHeight="1" spans="1:1">
      <c r="A1" s="1" t="s">
        <v>0</v>
      </c>
    </row>
    <row r="2" ht="20.1" customHeight="1" spans="1:1">
      <c r="A2" s="2" t="s">
        <v>1</v>
      </c>
    </row>
    <row r="4" ht="26.1" customHeight="1" spans="1:6">
      <c r="A4" s="3" t="s">
        <v>2</v>
      </c>
      <c r="F4" s="4" t="s">
        <v>3</v>
      </c>
    </row>
    <row r="5" ht="24" customHeight="1" spans="1:4">
      <c r="A5" s="5" t="s">
        <v>4</v>
      </c>
      <c r="B5" s="6">
        <v>3000</v>
      </c>
      <c r="C5" s="7" t="s">
        <v>5</v>
      </c>
      <c r="D5" s="8" t="s">
        <v>6</v>
      </c>
    </row>
    <row r="6" ht="24" customHeight="1" spans="1:4">
      <c r="A6" s="5" t="s">
        <v>7</v>
      </c>
      <c r="B6" s="6">
        <v>1680</v>
      </c>
      <c r="C6" s="7" t="s">
        <v>5</v>
      </c>
      <c r="D6" s="8" t="s">
        <v>8</v>
      </c>
    </row>
    <row r="7" ht="24" customHeight="1" spans="1:4">
      <c r="A7" s="5" t="s">
        <v>9</v>
      </c>
      <c r="B7" s="9" t="s">
        <v>10</v>
      </c>
      <c r="C7" s="7"/>
      <c r="D7" s="8" t="s">
        <v>11</v>
      </c>
    </row>
    <row r="8" ht="24" customHeight="1" spans="1:4">
      <c r="A8" s="5" t="s">
        <v>12</v>
      </c>
      <c r="B8" s="6">
        <v>133</v>
      </c>
      <c r="C8" s="7" t="s">
        <v>5</v>
      </c>
      <c r="D8" s="8" t="s">
        <v>13</v>
      </c>
    </row>
    <row r="9" ht="24" customHeight="1" spans="1:4">
      <c r="A9" s="5" t="s">
        <v>14</v>
      </c>
      <c r="B9" s="6">
        <v>240</v>
      </c>
      <c r="C9" s="7" t="s">
        <v>5</v>
      </c>
      <c r="D9" s="8" t="s">
        <v>15</v>
      </c>
    </row>
    <row r="11" ht="26.1" customHeight="1" spans="1:1">
      <c r="A11" s="3" t="s">
        <v>16</v>
      </c>
    </row>
    <row r="12" ht="24" customHeight="1" spans="1:4">
      <c r="A12" s="5" t="s">
        <v>17</v>
      </c>
      <c r="B12" s="9" t="s">
        <v>18</v>
      </c>
      <c r="C12" s="10" t="s">
        <v>19</v>
      </c>
      <c r="D12" s="11">
        <f>IF(B12="持有 2 年以內（稅率 45%）",0.45,IF(B12="持有超過 2 年，未滿 5 年（稅率 35%）",0.35,IF(B12="持有超過 5 年，未滿 10 年（稅率 20%）",0.2,IF(B12="持有超過 10 年（稅率 15%）",0.15,IF(B12="自住房地（滿 6 年，獲利400萬免稅，超額10%）",0.1,0.45)))))</f>
        <v>0.1</v>
      </c>
    </row>
    <row r="14" ht="26.1" customHeight="1" spans="1:1">
      <c r="A14" s="12" t="s">
        <v>20</v>
      </c>
    </row>
    <row r="15" ht="24" customHeight="1" spans="1:7">
      <c r="A15" s="5" t="s">
        <v>21</v>
      </c>
      <c r="B15" s="13">
        <f>IF(B7="自行列舉費用",B8,MIN(B5*0.03,30))</f>
        <v>133</v>
      </c>
      <c r="C15" s="7" t="s">
        <v>5</v>
      </c>
      <c r="D15" s="8" t="e">
        <f ca="1">系統採計之移轉費用金額</f>
        <v>#NAME?</v>
      </c>
      <c r="F15" s="14" t="s">
        <v>22</v>
      </c>
      <c r="G15" s="15" t="s">
        <v>23</v>
      </c>
    </row>
    <row r="16" ht="24" customHeight="1" spans="1:7">
      <c r="A16" s="5" t="s">
        <v>24</v>
      </c>
      <c r="B16" s="13">
        <f>B5-B6</f>
        <v>1320</v>
      </c>
      <c r="C16" s="7" t="s">
        <v>5</v>
      </c>
      <c r="D16" s="8" t="e">
        <f ca="1">成交總價-取得成本</f>
        <v>#NAME?</v>
      </c>
      <c r="F16" s="14" t="s">
        <v>25</v>
      </c>
      <c r="G16" s="15" t="s">
        <v>26</v>
      </c>
    </row>
    <row r="17" ht="24" customHeight="1" spans="1:7">
      <c r="A17" s="5" t="s">
        <v>27</v>
      </c>
      <c r="B17" s="13">
        <f>MAX(0,B5-B6-B15-B9)</f>
        <v>947</v>
      </c>
      <c r="C17" s="7" t="s">
        <v>5</v>
      </c>
      <c r="D17" s="8" t="e">
        <f ca="1">成交價-成本-費用-土地漲價總數額</f>
        <v>#NAME?</v>
      </c>
      <c r="F17" s="14" t="s">
        <v>28</v>
      </c>
      <c r="G17" s="9" t="s">
        <v>29</v>
      </c>
    </row>
    <row r="18" ht="24" customHeight="1" spans="1:7">
      <c r="A18" s="5" t="s">
        <v>30</v>
      </c>
      <c r="B18" s="13">
        <f>IF(B12="自住房地（滿 6 年，獲利400萬免稅，超額10%）",MIN(400,B17),0)</f>
        <v>400</v>
      </c>
      <c r="C18" s="7" t="s">
        <v>5</v>
      </c>
      <c r="D18" s="8" t="e">
        <f ca="1">自住滿6年最高享有400萬免稅額</f>
        <v>#NAME?</v>
      </c>
      <c r="F18" s="14" t="s">
        <v>31</v>
      </c>
      <c r="G18" s="9" t="s">
        <v>32</v>
      </c>
    </row>
    <row r="19" ht="24" customHeight="1" spans="1:7">
      <c r="A19" s="5" t="s">
        <v>33</v>
      </c>
      <c r="B19" s="13">
        <f>MAX(0,B17-B18)</f>
        <v>547</v>
      </c>
      <c r="C19" s="7" t="s">
        <v>5</v>
      </c>
      <c r="D19" s="8" t="e">
        <f ca="1">扣除自住免稅額後之應稅金額</f>
        <v>#NAME?</v>
      </c>
      <c r="F19" s="14" t="s">
        <v>34</v>
      </c>
      <c r="G19" s="9" t="s">
        <v>35</v>
      </c>
    </row>
    <row r="20" spans="6:7">
      <c r="F20" s="14" t="s">
        <v>36</v>
      </c>
      <c r="G20" s="9" t="s">
        <v>37</v>
      </c>
    </row>
    <row r="21" ht="27.95" customHeight="1" spans="1:7">
      <c r="A21" s="16" t="s">
        <v>38</v>
      </c>
      <c r="C21" s="17" t="s">
        <v>39</v>
      </c>
      <c r="F21" s="14" t="s">
        <v>40</v>
      </c>
      <c r="G21" s="9" t="s">
        <v>41</v>
      </c>
    </row>
    <row r="22" ht="36" customHeight="1" spans="1:7">
      <c r="A22" s="18">
        <f>B19*D12</f>
        <v>54.7</v>
      </c>
      <c r="C22" s="19">
        <f>B17-A22</f>
        <v>892.3</v>
      </c>
      <c r="F22" s="14" t="s">
        <v>42</v>
      </c>
      <c r="G22" s="9" t="s">
        <v>43</v>
      </c>
    </row>
    <row r="23" ht="15.75"/>
  </sheetData>
  <mergeCells count="10">
    <mergeCell ref="A1:G1"/>
    <mergeCell ref="A2:G2"/>
    <mergeCell ref="A4:D4"/>
    <mergeCell ref="F4:G4"/>
    <mergeCell ref="A11:D11"/>
    <mergeCell ref="A14:D14"/>
    <mergeCell ref="A21:B21"/>
    <mergeCell ref="C21:D21"/>
    <mergeCell ref="A22:B22"/>
    <mergeCell ref="C22:D22"/>
  </mergeCells>
  <dataValidations count="2">
    <dataValidation type="list" sqref="B12">
      <formula1>"持有 2 年以內（稅率 45%）,持有超過 2 年，未滿 5 年（稅率 35%）,持有超過 5 年，未滿 10 年（稅率 20%）,持有超過 10 年（稅率 15%）,自住房地（滿 6 年，獲利400萬免稅，超額10%）"</formula1>
    </dataValidation>
    <dataValidation type="list" sqref="B7">
      <formula1>"自行列舉費用,未提供（按成交價 3% 試算，上限30萬）"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房地合一稅試算機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2026-10-18T05:10:00Z</dcterms:created>
  <dcterms:modified xsi:type="dcterms:W3CDTF">2026-10-19T01:35:45Z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